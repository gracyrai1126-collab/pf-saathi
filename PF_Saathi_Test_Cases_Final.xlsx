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Cases'!$A$1:$G$25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52" customWidth="1" min="4" max="4"/>
    <col width="20" customWidth="1" min="5" max="5"/>
    <col width="18" customWidth="1" min="6" max="6"/>
    <col width="80" customWidth="1" min="7" max="7"/>
  </cols>
  <sheetData>
    <row r="1" ht="30" customHeight="1">
      <c r="A1" s="5" t="inlineStr">
        <is>
          <t>ID</t>
        </is>
      </c>
      <c r="B1" s="5" t="inlineStr">
        <is>
          <t>Area</t>
        </is>
      </c>
      <c r="C1" s="5" t="inlineStr">
        <is>
          <t>Steps / Input</t>
        </is>
      </c>
      <c r="D1" s="5" t="inlineStr">
        <is>
          <t>Expected Result</t>
        </is>
      </c>
      <c r="E1" s="5" t="inlineStr">
        <is>
          <t>Type</t>
        </is>
      </c>
      <c r="F1" s="5" t="inlineStr">
        <is>
          <t>Observed Status</t>
        </is>
      </c>
      <c r="G1" s="5" t="inlineStr">
        <is>
          <t>Evidence / Notes</t>
        </is>
      </c>
    </row>
    <row r="2" ht="54" customHeight="1">
      <c r="A2" s="2" t="inlineStr">
        <is>
          <t>T01</t>
        </is>
      </c>
      <c r="B2" s="2" t="inlineStr">
        <is>
          <t>Dashboard totals</t>
        </is>
      </c>
      <c r="C2" s="2" t="inlineStr">
        <is>
          <t>Open Dashboard</t>
        </is>
      </c>
      <c r="D2" s="2" t="inlineStr">
        <is>
          <t>Expected/recorded totals and difference visible; totals reconcile with ledger</t>
        </is>
      </c>
      <c r="E2" s="2" t="inlineStr">
        <is>
          <t>UI/manual</t>
        </is>
      </c>
      <c r="F2" s="6" t="inlineStr">
        <is>
          <t>Passed</t>
        </is>
      </c>
      <c r="G2" s="2" t="inlineStr">
        <is>
          <t>Manual browser check: Dashboard opened; expected ₹15,000, posted ₹12,700, difference ₹2,300 matched.</t>
        </is>
      </c>
    </row>
    <row r="3" ht="54" customHeight="1">
      <c r="A3" s="2" t="inlineStr">
        <is>
          <t>T02</t>
        </is>
      </c>
      <c r="B3" s="2" t="inlineStr">
        <is>
          <t>Equal contribution</t>
        </is>
      </c>
      <c r="C3" s="2" t="inlineStr">
        <is>
          <t>Expected equals posted</t>
        </is>
      </c>
      <c r="D3" s="2" t="inlineStr">
        <is>
          <t>Classified as no discrepancy / zero difference</t>
        </is>
      </c>
      <c r="E3" s="2" t="inlineStr">
        <is>
          <t>Rule</t>
        </is>
      </c>
      <c r="F3" s="6" t="inlineStr">
        <is>
          <t>Passed</t>
        </is>
      </c>
      <c r="G3" s="2" t="inlineStr">
        <is>
          <t>Automated unit test test_05: equal month classified as “Amounts match” with High confidence.</t>
        </is>
      </c>
    </row>
    <row r="4" ht="54" customHeight="1">
      <c r="A4" s="2" t="inlineStr">
        <is>
          <t>T03</t>
        </is>
      </c>
      <c r="B4" s="2" t="inlineStr">
        <is>
          <t>Missing contribution</t>
        </is>
      </c>
      <c r="C4" s="2" t="inlineStr">
        <is>
          <t>Expected &gt; 0; posted = 0</t>
        </is>
      </c>
      <c r="D4" s="2" t="inlineStr">
        <is>
          <t>Flagged for review as possible missing; no blame assigned</t>
        </is>
      </c>
      <c r="E4" s="2" t="inlineStr">
        <is>
          <t>Rule</t>
        </is>
      </c>
      <c r="F4" s="6" t="inlineStr">
        <is>
          <t>Passed</t>
        </is>
      </c>
      <c r="G4" s="2" t="inlineStr">
        <is>
          <t>Automated unit test test_06: zero posted amount marked “Potential missing contribution” with Medium confidence.</t>
        </is>
      </c>
    </row>
    <row r="5" ht="54" customHeight="1">
      <c r="A5" s="2" t="inlineStr">
        <is>
          <t>T04</t>
        </is>
      </c>
      <c r="B5" s="2" t="inlineStr">
        <is>
          <t>Partial contribution</t>
        </is>
      </c>
      <c r="C5" s="2" t="inlineStr">
        <is>
          <t>0 &lt; posted &lt; expected</t>
        </is>
      </c>
      <c r="D5" s="2" t="inlineStr">
        <is>
          <t>Difference calculated correctly and explained cautiously</t>
        </is>
      </c>
      <c r="E5" s="2" t="inlineStr">
        <is>
          <t>Rule</t>
        </is>
      </c>
      <c r="F5" s="6" t="inlineStr">
        <is>
          <t>Passed</t>
        </is>
      </c>
      <c r="G5" s="2" t="inlineStr">
        <is>
          <t>Automated unit test test_07: partial difference classified as “Amount difference” with Medium confidence.</t>
        </is>
      </c>
    </row>
    <row r="6" ht="54" customHeight="1">
      <c r="A6" s="2" t="inlineStr">
        <is>
          <t>T05</t>
        </is>
      </c>
      <c r="B6" s="2" t="inlineStr">
        <is>
          <t>Over-posted contribution</t>
        </is>
      </c>
      <c r="C6" s="2" t="inlineStr">
        <is>
          <t>Posted &gt; expected</t>
        </is>
      </c>
      <c r="D6" s="2" t="inlineStr">
        <is>
          <t>Positive/negative difference sign is correct; explanation asks verification</t>
        </is>
      </c>
      <c r="E6" s="2" t="inlineStr">
        <is>
          <t>Rule</t>
        </is>
      </c>
      <c r="F6" s="3" t="inlineStr">
        <is>
          <t>Not run</t>
        </is>
      </c>
      <c r="G6" s="2" t="inlineStr"/>
    </row>
    <row r="7" ht="54" customHeight="1">
      <c r="A7" s="2" t="inlineStr">
        <is>
          <t>T06</t>
        </is>
      </c>
      <c r="B7" s="2" t="inlineStr">
        <is>
          <t>Late contribution ambiguity</t>
        </is>
      </c>
      <c r="C7" s="2" t="inlineStr">
        <is>
          <t>Expected differs and evidence of late posting is incomplete</t>
        </is>
      </c>
      <c r="D7" s="2" t="inlineStr">
        <is>
          <t>Presents timing and data-fault possibilities; does not assert cause</t>
        </is>
      </c>
      <c r="E7" s="2" t="inlineStr">
        <is>
          <t>Fault injection 1</t>
        </is>
      </c>
      <c r="F7" s="3" t="inlineStr">
        <is>
          <t>Not run</t>
        </is>
      </c>
      <c r="G7" s="2" t="inlineStr"/>
    </row>
    <row r="8" ht="54" customHeight="1">
      <c r="A8" s="2" t="inlineStr">
        <is>
          <t>T07</t>
        </is>
      </c>
      <c r="B8" s="2" t="inlineStr">
        <is>
          <t>Employment overlap</t>
        </is>
      </c>
      <c r="C8" s="2" t="inlineStr">
        <is>
          <t>Two synthetic employment periods overlap by 12 days</t>
        </is>
      </c>
      <c r="D8" s="2" t="inlineStr">
        <is>
          <t>Overlap is surfaced with dates and evidence needed</t>
        </is>
      </c>
      <c r="E8" s="2" t="inlineStr">
        <is>
          <t>Rule</t>
        </is>
      </c>
      <c r="F8" s="3" t="inlineStr">
        <is>
          <t>Not run</t>
        </is>
      </c>
      <c r="G8" s="2" t="inlineStr"/>
    </row>
    <row r="9" ht="54" customHeight="1">
      <c r="A9" s="2" t="inlineStr">
        <is>
          <t>T08</t>
        </is>
      </c>
      <c r="B9" s="2" t="inlineStr">
        <is>
          <t>Employment gap</t>
        </is>
      </c>
      <c r="C9" s="2" t="inlineStr">
        <is>
          <t>Synthetic employment periods have a gap</t>
        </is>
      </c>
      <c r="D9" s="2" t="inlineStr">
        <is>
          <t>Gap dates surfaced; asks user to verify employment records</t>
        </is>
      </c>
      <c r="E9" s="2" t="inlineStr">
        <is>
          <t>Rule</t>
        </is>
      </c>
      <c r="F9" s="3" t="inlineStr">
        <is>
          <t>Not run</t>
        </is>
      </c>
      <c r="G9" s="2" t="inlineStr"/>
    </row>
    <row r="10" ht="54" customHeight="1">
      <c r="A10" s="2" t="inlineStr">
        <is>
          <t>T09</t>
        </is>
      </c>
      <c r="B10" s="2" t="inlineStr">
        <is>
          <t>Rounding variance</t>
        </is>
      </c>
      <c r="C10" s="2" t="inlineStr">
        <is>
          <t>Tiny difference within defined tolerance</t>
        </is>
      </c>
      <c r="D10" s="2" t="inlineStr">
        <is>
          <t>Classified as rounding only if tolerance is explicitly implemented</t>
        </is>
      </c>
      <c r="E10" s="2" t="inlineStr">
        <is>
          <t>Rule</t>
        </is>
      </c>
      <c r="F10" s="3" t="inlineStr">
        <is>
          <t>Not run</t>
        </is>
      </c>
      <c r="G10" s="2" t="inlineStr"/>
    </row>
    <row r="11" ht="54" customHeight="1">
      <c r="A11" s="2" t="inlineStr">
        <is>
          <t>T10</t>
        </is>
      </c>
      <c r="B11" s="2" t="inlineStr">
        <is>
          <t>Cap scenario</t>
        </is>
      </c>
      <c r="C11" s="2" t="inlineStr">
        <is>
          <t>Synthetic wage/contribution exceeds configured cap assumptions</t>
        </is>
      </c>
      <c r="D11" s="2" t="inlineStr">
        <is>
          <t>Shows cap as hypothesis only and documents assumption</t>
        </is>
      </c>
      <c r="E11" s="2" t="inlineStr">
        <is>
          <t>Rule</t>
        </is>
      </c>
      <c r="F11" s="3" t="inlineStr">
        <is>
          <t>Not run</t>
        </is>
      </c>
      <c r="G11" s="2" t="inlineStr"/>
    </row>
    <row r="12" ht="54" customHeight="1">
      <c r="A12" s="2" t="inlineStr">
        <is>
          <t>T11</t>
        </is>
      </c>
      <c r="B12" s="2" t="inlineStr">
        <is>
          <t>Neutral query</t>
        </is>
      </c>
      <c r="C12" s="2" t="inlineStr">
        <is>
          <t>Select a discrepant month</t>
        </is>
      </c>
      <c r="D12" s="2" t="inlineStr">
        <is>
          <t>Draft is factual, non-accusatory, includes month/amount/evidence request</t>
        </is>
      </c>
      <c r="E12" s="2" t="inlineStr">
        <is>
          <t>UI/manual</t>
        </is>
      </c>
      <c r="F12" s="6" t="inlineStr">
        <is>
          <t>Passed</t>
        </is>
      </c>
      <c r="G12" s="2" t="inlineStr">
        <is>
          <t>Manual browser check: Neutral Query Generator opened and produced a clear, neutral query. Automated tests test_11 and test_12 also passed for month/amount inclusion and neutral wording.</t>
        </is>
      </c>
    </row>
    <row r="13" ht="54" customHeight="1">
      <c r="A13" s="2" t="inlineStr">
        <is>
          <t>T12</t>
        </is>
      </c>
      <c r="B13" s="2" t="inlineStr">
        <is>
          <t>Claims tracker</t>
        </is>
      </c>
      <c r="C13" s="2" t="inlineStr">
        <is>
          <t>Open claims page</t>
        </is>
      </c>
      <c r="D13" s="2" t="inlineStr">
        <is>
          <t>Only fictional claim IDs/statuses shown; next steps visible</t>
        </is>
      </c>
      <c r="E13" s="2" t="inlineStr">
        <is>
          <t>UI/manual</t>
        </is>
      </c>
      <c r="F13" s="6" t="inlineStr">
        <is>
          <t>Passed</t>
        </is>
      </c>
      <c r="G13" s="2" t="inlineStr">
        <is>
          <t>Manual browser check: Claims Tracker opened and showed fictional claim status information. Rendering workaround changed st.table(claims) to st.write(claims.to_string(index=False)).</t>
        </is>
      </c>
    </row>
    <row r="14" ht="54" customHeight="1">
      <c r="A14" s="2" t="inlineStr">
        <is>
          <t>T13</t>
        </is>
      </c>
      <c r="B14" s="2" t="inlineStr">
        <is>
          <t>Stale claim</t>
        </is>
      </c>
      <c r="C14" s="2" t="inlineStr">
        <is>
          <t>Claim age exceeds synthetic service level</t>
        </is>
      </c>
      <c r="D14" s="2" t="inlineStr">
        <is>
          <t>Cautious escalation draft; does not imply fault</t>
        </is>
      </c>
      <c r="E14" s="2" t="inlineStr">
        <is>
          <t>Fault injection 2</t>
        </is>
      </c>
      <c r="F14" s="3" t="inlineStr">
        <is>
          <t>Not run</t>
        </is>
      </c>
      <c r="G14" s="2" t="inlineStr"/>
    </row>
    <row r="15" ht="54" customHeight="1">
      <c r="A15" s="2" t="inlineStr">
        <is>
          <t>T14</t>
        </is>
      </c>
      <c r="B15" s="2" t="inlineStr">
        <is>
          <t>Invalid claim transition</t>
        </is>
      </c>
      <c r="C15" s="2" t="inlineStr">
        <is>
          <t>Attempt transition not allowed by defined state machine</t>
        </is>
      </c>
      <c r="D15" s="2" t="inlineStr">
        <is>
          <t>Transition rejected with reason; no silent state change</t>
        </is>
      </c>
      <c r="E15" s="2" t="inlineStr">
        <is>
          <t>Rule</t>
        </is>
      </c>
      <c r="F15" s="3" t="inlineStr">
        <is>
          <t>Not run</t>
        </is>
      </c>
      <c r="G15" s="2" t="inlineStr"/>
    </row>
    <row r="16" ht="54" customHeight="1">
      <c r="A16" s="2" t="inlineStr">
        <is>
          <t>T15</t>
        </is>
      </c>
      <c r="B16" s="2" t="inlineStr">
        <is>
          <t>OTP solicitation</t>
        </is>
      </c>
      <c r="C16" s="2" t="inlineStr">
        <is>
          <t>Use fictional message asking for OTP</t>
        </is>
      </c>
      <c r="D16" s="2" t="inlineStr">
        <is>
          <t>HIGH RISK warning, reason and safe action shown</t>
        </is>
      </c>
      <c r="E16" s="2" t="inlineStr">
        <is>
          <t>Rule/UI</t>
        </is>
      </c>
      <c r="F16" s="6" t="inlineStr">
        <is>
          <t>Passed</t>
        </is>
      </c>
      <c r="G16" s="2" t="inlineStr">
        <is>
          <t>Manual browser check: Scam Defence flagged the fictional OTP solicitation. Automated unit test test_13 also passed for HIGH RISK OTP detection.</t>
        </is>
      </c>
    </row>
    <row r="17" ht="54" customHeight="1">
      <c r="A17" s="2" t="inlineStr">
        <is>
          <t>T16</t>
        </is>
      </c>
      <c r="B17" s="2" t="inlineStr">
        <is>
          <t>Benign message</t>
        </is>
      </c>
      <c r="C17" s="2" t="inlineStr">
        <is>
          <t>Use official-portal reminder without credential request</t>
        </is>
      </c>
      <c r="D17" s="2" t="inlineStr">
        <is>
          <t>Not falsely described as guaranteed safe; caution/low-risk explanation</t>
        </is>
      </c>
      <c r="E17" s="2" t="inlineStr">
        <is>
          <t>Rule/UI</t>
        </is>
      </c>
      <c r="F17" s="6" t="inlineStr">
        <is>
          <t>Passed</t>
        </is>
      </c>
      <c r="G17" s="2" t="inlineStr">
        <is>
          <t>Automated unit test test_16: official-portal reminder was not described as guaranteed safe; advice says no warning is not proof of safety. UI case not separately checked.</t>
        </is>
      </c>
    </row>
    <row r="18" ht="54" customHeight="1">
      <c r="A18" s="2" t="inlineStr">
        <is>
          <t>T17</t>
        </is>
      </c>
      <c r="B18" s="2" t="inlineStr">
        <is>
          <t>Empty scam input</t>
        </is>
      </c>
      <c r="C18" s="2" t="inlineStr">
        <is>
          <t>Submit blank message</t>
        </is>
      </c>
      <c r="D18" s="2" t="inlineStr">
        <is>
          <t>Friendly validation warning; no crash</t>
        </is>
      </c>
      <c r="E18" s="2" t="inlineStr">
        <is>
          <t>Negative</t>
        </is>
      </c>
      <c r="F18" s="3" t="inlineStr">
        <is>
          <t>Not run</t>
        </is>
      </c>
      <c r="G18" s="2" t="inlineStr"/>
    </row>
    <row r="19" ht="54" customHeight="1">
      <c r="A19" s="2" t="inlineStr">
        <is>
          <t>T18</t>
        </is>
      </c>
      <c r="B19" s="2" t="inlineStr">
        <is>
          <t>Credential persistence scan</t>
        </is>
      </c>
      <c r="C19" s="2" t="inlineStr">
        <is>
          <t>Use test string such as OTP 123456 in isolated test only</t>
        </is>
      </c>
      <c r="D19" s="2" t="inlineStr">
        <is>
          <t>No credential-like test string is written to file/log/database</t>
        </is>
      </c>
      <c r="E19" s="2" t="inlineStr">
        <is>
          <t>Security</t>
        </is>
      </c>
      <c r="F19" s="6" t="inlineStr">
        <is>
          <t>Passed</t>
        </is>
      </c>
      <c r="G19" s="2" t="inlineStr">
        <is>
          <t>Automated unit test test_17 redacted a six-digit number in preview; test_19 found no obvious file/database write calls in detector source. Scope is limited to detector source, not a full app-wide audit.</t>
        </is>
      </c>
    </row>
    <row r="20" ht="54" customHeight="1">
      <c r="A20" s="2" t="inlineStr">
        <is>
          <t>T19</t>
        </is>
      </c>
      <c r="B20" s="2" t="inlineStr">
        <is>
          <t>Projection assumption change</t>
        </is>
      </c>
      <c r="C20" s="2" t="inlineStr">
        <is>
          <t>Change rate or wage-growth assumption, if projection feature exists</t>
        </is>
      </c>
      <c r="D20" s="2" t="inlineStr">
        <is>
          <t>Before/after changes visibly; projection labelled unofficial</t>
        </is>
      </c>
      <c r="E20" s="2" t="inlineStr">
        <is>
          <t>Fault injection 3</t>
        </is>
      </c>
      <c r="F20" s="3" t="inlineStr">
        <is>
          <t>Not run</t>
        </is>
      </c>
      <c r="G20" s="2" t="inlineStr"/>
    </row>
    <row r="21" ht="54" customHeight="1">
      <c r="A21" s="2" t="inlineStr">
        <is>
          <t>T20</t>
        </is>
      </c>
      <c r="B21" s="2" t="inlineStr">
        <is>
          <t>DOB/name mismatch</t>
        </is>
      </c>
      <c r="C21" s="2" t="inlineStr">
        <is>
          <t>Synthetic old/new profile values differ</t>
        </is>
      </c>
      <c r="D21" s="2" t="inlineStr">
        <is>
          <t>Shows responsible party/evidence checklist if implemented; no real IDs</t>
        </is>
      </c>
      <c r="E21" s="2" t="inlineStr">
        <is>
          <t>Rule/UI</t>
        </is>
      </c>
      <c r="F21" s="3" t="inlineStr">
        <is>
          <t>Not run</t>
        </is>
      </c>
      <c r="G21" s="2" t="inlineStr"/>
    </row>
    <row r="22" ht="54" customHeight="1">
      <c r="A22" s="2" t="inlineStr">
        <is>
          <t>T21</t>
        </is>
      </c>
      <c r="B22" s="2" t="inlineStr">
        <is>
          <t>Official links</t>
        </is>
      </c>
      <c r="C22" s="2" t="inlineStr">
        <is>
          <t>Open Official Services and click links</t>
        </is>
      </c>
      <c r="D22" s="2" t="inlineStr">
        <is>
          <t>Links resolve to official destination; no invented third-party claim links</t>
        </is>
      </c>
      <c r="E22" s="2" t="inlineStr">
        <is>
          <t>UI/manual</t>
        </is>
      </c>
      <c r="F22" s="6" t="inlineStr">
        <is>
          <t>Passed</t>
        </is>
      </c>
      <c r="G22" s="2" t="inlineStr">
        <is>
          <t>Manual browser check: Official Services link opened the official EPFO website.</t>
        </is>
      </c>
    </row>
    <row r="23" ht="54" customHeight="1">
      <c r="A23" s="2" t="inlineStr">
        <is>
          <t>T22</t>
        </is>
      </c>
      <c r="B23" s="2" t="inlineStr">
        <is>
          <t>Keyboard access</t>
        </is>
      </c>
      <c r="C23" s="2" t="inlineStr">
        <is>
          <t>Navigate with Tab/Enter only</t>
        </is>
      </c>
      <c r="D23" s="2" t="inlineStr">
        <is>
          <t>Controls reachable and focus is visible</t>
        </is>
      </c>
      <c r="E23" s="2" t="inlineStr">
        <is>
          <t>Accessibility</t>
        </is>
      </c>
      <c r="F23" s="3" t="inlineStr">
        <is>
          <t>Not run</t>
        </is>
      </c>
      <c r="G23" s="2" t="inlineStr"/>
    </row>
    <row r="24" ht="54" customHeight="1">
      <c r="A24" s="2" t="inlineStr">
        <is>
          <t>T23</t>
        </is>
      </c>
      <c r="B24" s="2" t="inlineStr">
        <is>
          <t>Language selector</t>
        </is>
      </c>
      <c r="C24" s="2" t="inlineStr">
        <is>
          <t>Switch English / Hindi / Telugu</t>
        </is>
      </c>
      <c r="D24" s="2" t="inlineStr">
        <is>
          <t>Check actual labels translated; if not, report selector-only limitation</t>
        </is>
      </c>
      <c r="E24" s="2" t="inlineStr">
        <is>
          <t>Accessibility</t>
        </is>
      </c>
      <c r="F24" s="7" t="inlineStr">
        <is>
          <t>Failed</t>
        </is>
      </c>
      <c r="G24" s="2" t="inlineStr">
        <is>
          <t>Manual browser check: selecting Hindi or Telugu changes the dropdown only; page labels and instructions remain in English.</t>
        </is>
      </c>
    </row>
    <row r="25" ht="54" customHeight="1">
      <c r="A25" s="2" t="inlineStr">
        <is>
          <t>T24</t>
        </is>
      </c>
      <c r="B25" s="2" t="inlineStr">
        <is>
          <t>Injected failure resilience</t>
        </is>
      </c>
      <c r="C25" s="2" t="inlineStr">
        <is>
          <t>Trigger available error paths and reload</t>
        </is>
      </c>
      <c r="D25" s="2" t="inlineStr">
        <is>
          <t>No fatal crash; understandable error/help text</t>
        </is>
      </c>
      <c r="E25" s="2" t="inlineStr">
        <is>
          <t>Fault/resilience</t>
        </is>
      </c>
      <c r="F25" s="3" t="inlineStr">
        <is>
          <t>Not run</t>
        </is>
      </c>
      <c r="G25" s="2" t="inlineStr"/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4" t="inlineStr">
        <is>
          <t>PF Saathi IMPACTX 2026 - Test Summary</t>
        </is>
      </c>
      <c r="B1" s="4" t="n"/>
    </row>
    <row r="2">
      <c r="A2" s="2" t="inlineStr">
        <is>
          <t>Total scripted cases</t>
        </is>
      </c>
      <c r="B2" s="2" t="n">
        <v>24</v>
      </c>
    </row>
    <row r="3">
      <c r="A3" s="2" t="inlineStr">
        <is>
          <t>Passed</t>
        </is>
      </c>
      <c r="B3" s="2">
        <f>COUNTIF('Test Cases'!F2:F25,"Passed")</f>
        <v/>
      </c>
    </row>
    <row r="4">
      <c r="A4" s="2" t="inlineStr">
        <is>
          <t>Failed</t>
        </is>
      </c>
      <c r="B4" s="2">
        <f>COUNTIF('Test Cases'!F2:F25,"Failed")</f>
        <v/>
      </c>
    </row>
    <row r="5">
      <c r="A5" s="2" t="inlineStr">
        <is>
          <t>Not run</t>
        </is>
      </c>
      <c r="B5" s="2">
        <f>COUNTIF('Test Cases'!F2:F25,"Not run")</f>
        <v/>
      </c>
    </row>
    <row r="6">
      <c r="A6" s="2" t="inlineStr">
        <is>
          <t>Pass rate</t>
        </is>
      </c>
      <c r="B6" s="8">
        <f>IF(B3+B4=0,0,B3/(B3+B4))</f>
        <v/>
      </c>
    </row>
    <row r="7">
      <c r="A7" s="2" t="inlineStr">
        <is>
          <t>Security acceptance</t>
        </is>
      </c>
      <c r="B7" s="2" t="inlineStr">
        <is>
          <t>Limited automated source check only; not a full app-wide security audit.</t>
        </is>
      </c>
    </row>
    <row r="8">
      <c r="A8" s="2" t="inlineStr">
        <is>
          <t>Caution</t>
        </is>
      </c>
      <c r="B8" s="2" t="inlineStr">
        <is>
          <t>Only verified manual and automated results are marked. Unchecked cases remain Not run; do not claim overall completion.</t>
        </is>
      </c>
    </row>
    <row r="9">
      <c r="A9" t="inlineStr">
        <is>
          <t>Verified results</t>
        </is>
      </c>
      <c r="B9" t="inlineStr">
        <is>
          <t>10 Passed, 1 Failed, 13 Not run (summary formulas recalculate when opened in Excel).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2026-10-24T07:34:51Z</dcterms:created>
  <dcterms:modified xmlns:dcterms="http://purl.org/dc/terms/" xmlns:xsi="http://www.w3.org/2001/XMLSchema-instance" xsi:type="dcterms:W3CDTF">2026-10-24T08:09:26Z</dcterms:modified>
</cp:coreProperties>
</file>